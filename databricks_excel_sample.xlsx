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売上データ" sheetId="1" state="visible" r:id="rId3"/>
    <sheet name="顧客マスタ" sheetId="2" state="visible" r:id="rId4"/>
    <sheet name="カテゴリ別集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<sst xmlns="http://schemas.openxmlformats.org/spreadsheetml/2006/main" count="66" uniqueCount="55">
  <si>
    <r>
      <rPr>
        <b val="true"/>
        <sz val="11"/>
        <color rgb="FFFFFFFF"/>
        <rFont val="Noto Sans CJK SC"/>
        <family val="2"/>
      </rPr>
      <t xml:space="preserve">注文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</si>
  <si>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商品名</t>
  </si>
  <si>
    <t xml:space="preserve">カテゴリ</t>
  </si>
  <si>
    <t xml:space="preserve">数量</t>
  </si>
  <si>
    <t xml:space="preserve">単価</t>
  </si>
  <si>
    <t xml:space="preserve">売上金額</t>
  </si>
  <si>
    <t xml:space="preserve">注文日</t>
  </si>
  <si>
    <t xml:space="preserve">ORD001</t>
  </si>
  <si>
    <r>
      <rPr>
        <sz val="11"/>
        <color theme="1"/>
        <rFont val="Noto Sans CJK SC"/>
        <family val="2"/>
      </rPr>
      <t xml:space="preserve">ノート</t>
    </r>
    <r>
      <rPr>
        <sz val="11"/>
        <color theme="1"/>
        <rFont val="Calibri"/>
        <family val="2"/>
        <charset val="1"/>
      </rPr>
      <t xml:space="preserve">PC</t>
    </r>
  </si>
  <si>
    <t xml:space="preserve">電子機器</t>
  </si>
  <si>
    <t xml:space="preserve">ORD002</t>
  </si>
  <si>
    <t xml:space="preserve">マウス</t>
  </si>
  <si>
    <t xml:space="preserve">周辺機器</t>
  </si>
  <si>
    <t xml:space="preserve">ORD003</t>
  </si>
  <si>
    <t xml:space="preserve">キーボード</t>
  </si>
  <si>
    <t xml:space="preserve">ORD004</t>
  </si>
  <si>
    <t xml:space="preserve">モニター</t>
  </si>
  <si>
    <t xml:space="preserve">ORD005</t>
  </si>
  <si>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ケーブル</t>
    </r>
  </si>
  <si>
    <t xml:space="preserve">アクセサリ</t>
  </si>
  <si>
    <t xml:space="preserve">ORD006</t>
  </si>
  <si>
    <t xml:space="preserve">ヘッドセット</t>
  </si>
  <si>
    <t xml:space="preserve">ORD007</t>
  </si>
  <si>
    <t xml:space="preserve">タブレット</t>
  </si>
  <si>
    <t xml:space="preserve">ORD008</t>
  </si>
  <si>
    <t xml:space="preserve">プリンター</t>
  </si>
  <si>
    <r>
      <rPr>
        <b val="true"/>
        <sz val="11"/>
        <rFont val="Noto Sans CJK SC"/>
        <family val="2"/>
      </rPr>
      <t xml:space="preserve">合計</t>
    </r>
    <r>
      <rPr>
        <b val="true"/>
        <sz val="11"/>
        <rFont val="Cambria"/>
        <family val="0"/>
        <charset val="1"/>
      </rPr>
      <t xml:space="preserve">:</t>
    </r>
  </si>
  <si>
    <r>
      <rPr>
        <b val="true"/>
        <sz val="11"/>
        <color rgb="FFFFFFFF"/>
        <rFont val="Noto Sans CJK SC"/>
        <family val="2"/>
      </rPr>
      <t xml:space="preserve">顧客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</si>
  <si>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顧客名</t>
  </si>
  <si>
    <t xml:space="preserve">地域</t>
  </si>
  <si>
    <t xml:space="preserve">登録日</t>
  </si>
  <si>
    <t xml:space="preserve">会員ランク</t>
  </si>
  <si>
    <t xml:space="preserve">C001</t>
  </si>
  <si>
    <r>
      <rPr>
        <sz val="11"/>
        <color theme="1"/>
        <rFont val="Noto Sans CJK SC"/>
        <family val="2"/>
      </rPr>
      <t xml:space="preserve">株式会社</t>
    </r>
    <r>
      <rPr>
        <sz val="11"/>
        <color theme="1"/>
        <rFont val="Calibri"/>
        <family val="2"/>
        <charset val="1"/>
      </rPr>
      <t xml:space="preserve">ABC</t>
    </r>
  </si>
  <si>
    <t xml:space="preserve">東京</t>
  </si>
  <si>
    <t xml:space="preserve">ゴールド</t>
  </si>
  <si>
    <t xml:space="preserve">C002</t>
  </si>
  <si>
    <r>
      <rPr>
        <sz val="11"/>
        <color theme="1"/>
        <rFont val="Calibri"/>
        <family val="2"/>
        <charset val="1"/>
      </rPr>
      <t xml:space="preserve">DEF</t>
    </r>
    <r>
      <rPr>
        <sz val="11"/>
        <color theme="1"/>
        <rFont val="Noto Sans CJK SC"/>
        <family val="2"/>
      </rPr>
      <t xml:space="preserve">商事</t>
    </r>
  </si>
  <si>
    <t xml:space="preserve">大阪</t>
  </si>
  <si>
    <t xml:space="preserve">シルバー</t>
  </si>
  <si>
    <t xml:space="preserve">C003</t>
  </si>
  <si>
    <r>
      <rPr>
        <sz val="11"/>
        <color theme="1"/>
        <rFont val="Calibri"/>
        <family val="2"/>
        <charset val="1"/>
      </rPr>
      <t xml:space="preserve">GHI</t>
    </r>
    <r>
      <rPr>
        <sz val="11"/>
        <color theme="1"/>
        <rFont val="Noto Sans CJK SC"/>
        <family val="2"/>
      </rPr>
      <t xml:space="preserve">工業</t>
    </r>
  </si>
  <si>
    <t xml:space="preserve">名古屋</t>
  </si>
  <si>
    <t xml:space="preserve">ブロンズ</t>
  </si>
  <si>
    <t xml:space="preserve">C004</t>
  </si>
  <si>
    <r>
      <rPr>
        <sz val="11"/>
        <color theme="1"/>
        <rFont val="Calibri"/>
        <family val="2"/>
        <charset val="1"/>
      </rPr>
      <t xml:space="preserve">JKL</t>
    </r>
    <r>
      <rPr>
        <sz val="11"/>
        <color theme="1"/>
        <rFont val="Noto Sans CJK SC"/>
        <family val="2"/>
      </rPr>
      <t xml:space="preserve">サービス</t>
    </r>
  </si>
  <si>
    <t xml:space="preserve">福岡</t>
  </si>
  <si>
    <t xml:space="preserve">C005</t>
  </si>
  <si>
    <r>
      <rPr>
        <sz val="11"/>
        <color theme="1"/>
        <rFont val="Calibri"/>
        <family val="2"/>
        <charset val="1"/>
      </rPr>
      <t xml:space="preserve">MNO</t>
    </r>
    <r>
      <rPr>
        <sz val="11"/>
        <color theme="1"/>
        <rFont val="Noto Sans CJK SC"/>
        <family val="2"/>
      </rPr>
      <t xml:space="preserve">テック</t>
    </r>
  </si>
  <si>
    <t xml:space="preserve">札幌</t>
  </si>
  <si>
    <r>
      <rPr>
        <b val="true"/>
        <sz val="14"/>
        <rFont val="Noto Sans CJK SC"/>
        <family val="2"/>
      </rPr>
      <t xml:space="preserve">【</t>
    </r>
    <r>
      <rPr>
        <b val="true"/>
        <sz val="14"/>
        <rFont val="Cambria"/>
        <family val="0"/>
        <charset val="1"/>
      </rPr>
      <t xml:space="preserve">2024</t>
    </r>
    <r>
      <rPr>
        <b val="true"/>
        <sz val="14"/>
        <rFont val="Noto Sans CJK SC"/>
        <family val="2"/>
      </rPr>
      <t xml:space="preserve">年度 カテゴリ別売上集計】</t>
    </r>
  </si>
  <si>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売上</t>
    </r>
  </si>
  <si>
    <r>
      <rPr>
        <b val="true"/>
        <sz val="11"/>
        <rFont val="Cambria"/>
        <family val="0"/>
        <charset val="1"/>
      </rPr>
      <t xml:space="preserve">Q2</t>
    </r>
    <r>
      <rPr>
        <b val="true"/>
        <sz val="11"/>
        <rFont val="Noto Sans CJK SC"/>
        <family val="2"/>
      </rPr>
      <t xml:space="preserve">売上</t>
    </r>
  </si>
  <si>
    <t xml:space="preserve">年間合計</t>
  </si>
  <si>
    <t xml:space="preserve">合計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</si>
</sst>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b val="true"/>
      <sz val="14"/>
      <name val="Noto Sans CJK SC"/>
      <family val="2"/>
    </font>
    <font>
      <b val="true"/>
      <sz val="1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7.15" hidden="false" customHeight="false" outlineLevel="0" collapsed="false">
      <c r="A2" s="0" t="s">
        <v>7</v>
      </c>
      <c r="B2" s="2" t="s">
        <v>8</v>
      </c>
      <c r="C2" s="2" t="s">
        <v>9</v>
      </c>
      <c r="D2" s="0" t="n">
        <v>2</v>
      </c>
      <c r="E2" s="0" t="n">
        <v>89000</v>
      </c>
      <c r="F2" s="0" t="n">
        <f aca="false">D2*E2</f>
        <v>178000</v>
      </c>
      <c r="G2" s="3" t="n">
        <v>45306</v>
      </c>
    </row>
    <row r="3" customFormat="false" ht="15" hidden="false" customHeight="false" outlineLevel="0" collapsed="false">
      <c r="A3" s="0" t="s">
        <v>10</v>
      </c>
      <c r="B3" s="2" t="s">
        <v>11</v>
      </c>
      <c r="C3" s="2" t="s">
        <v>12</v>
      </c>
      <c r="D3" s="0" t="n">
        <v>10</v>
      </c>
      <c r="E3" s="0" t="n">
        <v>2500</v>
      </c>
      <c r="F3" s="0" t="n">
        <f aca="false">D3*E3</f>
        <v>25000</v>
      </c>
      <c r="G3" s="3" t="n">
        <v>45309</v>
      </c>
    </row>
    <row r="4" customFormat="false" ht="15" hidden="false" customHeight="false" outlineLevel="0" collapsed="false">
      <c r="A4" s="0" t="s">
        <v>13</v>
      </c>
      <c r="B4" s="2" t="s">
        <v>14</v>
      </c>
      <c r="C4" s="2" t="s">
        <v>12</v>
      </c>
      <c r="D4" s="0" t="n">
        <v>5</v>
      </c>
      <c r="E4" s="0" t="n">
        <v>8000</v>
      </c>
      <c r="F4" s="0" t="n">
        <f aca="false">D4*E4</f>
        <v>40000</v>
      </c>
      <c r="G4" s="3" t="n">
        <v>45325</v>
      </c>
    </row>
    <row r="5" customFormat="false" ht="15" hidden="false" customHeight="false" outlineLevel="0" collapsed="false">
      <c r="A5" s="0" t="s">
        <v>15</v>
      </c>
      <c r="B5" s="2" t="s">
        <v>16</v>
      </c>
      <c r="C5" s="2" t="s">
        <v>9</v>
      </c>
      <c r="D5" s="0" t="n">
        <v>3</v>
      </c>
      <c r="E5" s="0" t="n">
        <v>45000</v>
      </c>
      <c r="F5" s="0" t="n">
        <f aca="false">D5*E5</f>
        <v>135000</v>
      </c>
      <c r="G5" s="3" t="n">
        <v>45332</v>
      </c>
    </row>
    <row r="6" customFormat="false" ht="17.15" hidden="false" customHeight="false" outlineLevel="0" collapsed="false">
      <c r="A6" s="0" t="s">
        <v>17</v>
      </c>
      <c r="B6" s="0" t="s">
        <v>18</v>
      </c>
      <c r="C6" s="2" t="s">
        <v>19</v>
      </c>
      <c r="D6" s="0" t="n">
        <v>20</v>
      </c>
      <c r="E6" s="0" t="n">
        <v>500</v>
      </c>
      <c r="F6" s="0" t="n">
        <f aca="false">D6*E6</f>
        <v>10000</v>
      </c>
      <c r="G6" s="3" t="n">
        <v>45344</v>
      </c>
    </row>
    <row r="7" customFormat="false" ht="15" hidden="false" customHeight="false" outlineLevel="0" collapsed="false">
      <c r="A7" s="0" t="s">
        <v>20</v>
      </c>
      <c r="B7" s="2" t="s">
        <v>21</v>
      </c>
      <c r="C7" s="2" t="s">
        <v>12</v>
      </c>
      <c r="D7" s="0" t="n">
        <v>8</v>
      </c>
      <c r="E7" s="0" t="n">
        <v>12000</v>
      </c>
      <c r="F7" s="0" t="n">
        <f aca="false">D7*E7</f>
        <v>96000</v>
      </c>
      <c r="G7" s="3" t="n">
        <v>45356</v>
      </c>
    </row>
    <row r="8" customFormat="false" ht="15" hidden="false" customHeight="false" outlineLevel="0" collapsed="false">
      <c r="A8" s="0" t="s">
        <v>22</v>
      </c>
      <c r="B8" s="2" t="s">
        <v>23</v>
      </c>
      <c r="C8" s="2" t="s">
        <v>9</v>
      </c>
      <c r="D8" s="0" t="n">
        <v>4</v>
      </c>
      <c r="E8" s="0" t="n">
        <v>65000</v>
      </c>
      <c r="F8" s="0" t="n">
        <f aca="false">D8*E8</f>
        <v>260000</v>
      </c>
      <c r="G8" s="3" t="n">
        <v>45363</v>
      </c>
    </row>
    <row r="9" customFormat="false" ht="15" hidden="false" customHeight="false" outlineLevel="0" collapsed="false">
      <c r="A9" s="0" t="s">
        <v>24</v>
      </c>
      <c r="B9" s="2" t="s">
        <v>25</v>
      </c>
      <c r="C9" s="2" t="s">
        <v>9</v>
      </c>
      <c r="D9" s="0" t="n">
        <v>2</v>
      </c>
      <c r="E9" s="0" t="n">
        <v>35000</v>
      </c>
      <c r="F9" s="0" t="n">
        <f aca="false">D9*E9</f>
        <v>70000</v>
      </c>
      <c r="G9" s="3" t="n">
        <v>45371</v>
      </c>
    </row>
    <row r="10" customFormat="false" ht="17.15" hidden="false" customHeight="false" outlineLevel="0" collapsed="false">
      <c r="C10" s="4" t="s">
        <v>26</v>
      </c>
      <c r="D10" s="5" t="n">
        <f aca="false">SUM(D2:D9)</f>
        <v>54</v>
      </c>
      <c r="F10" s="4" t="n">
        <f aca="false">SUM(F2:F9)</f>
        <v>814000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7.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customFormat="false" ht="17.15" hidden="false" customHeight="false" outlineLevel="0" collapsed="false">
      <c r="A2" s="0" t="s">
        <v>32</v>
      </c>
      <c r="B2" s="2" t="s">
        <v>33</v>
      </c>
      <c r="C2" s="2" t="s">
        <v>34</v>
      </c>
      <c r="D2" s="3" t="n">
        <v>44652</v>
      </c>
      <c r="E2" s="2" t="s">
        <v>35</v>
      </c>
    </row>
    <row r="3" customFormat="false" ht="17.15" hidden="false" customHeight="false" outlineLevel="0" collapsed="false">
      <c r="A3" s="0" t="s">
        <v>36</v>
      </c>
      <c r="B3" s="0" t="s">
        <v>37</v>
      </c>
      <c r="C3" s="2" t="s">
        <v>38</v>
      </c>
      <c r="D3" s="3" t="n">
        <v>44788</v>
      </c>
      <c r="E3" s="2" t="s">
        <v>39</v>
      </c>
    </row>
    <row r="4" customFormat="false" ht="17.15" hidden="false" customHeight="false" outlineLevel="0" collapsed="false">
      <c r="A4" s="0" t="s">
        <v>40</v>
      </c>
      <c r="B4" s="0" t="s">
        <v>41</v>
      </c>
      <c r="C4" s="2" t="s">
        <v>42</v>
      </c>
      <c r="D4" s="3" t="n">
        <v>44936</v>
      </c>
      <c r="E4" s="2" t="s">
        <v>43</v>
      </c>
    </row>
    <row r="5" customFormat="false" ht="17.15" hidden="false" customHeight="false" outlineLevel="0" collapsed="false">
      <c r="A5" s="0" t="s">
        <v>44</v>
      </c>
      <c r="B5" s="0" t="s">
        <v>45</v>
      </c>
      <c r="C5" s="2" t="s">
        <v>46</v>
      </c>
      <c r="D5" s="3" t="n">
        <v>45097</v>
      </c>
      <c r="E5" s="2" t="s">
        <v>39</v>
      </c>
    </row>
    <row r="6" customFormat="false" ht="17.15" hidden="false" customHeight="false" outlineLevel="0" collapsed="false">
      <c r="A6" s="0" t="s">
        <v>47</v>
      </c>
      <c r="B6" s="0" t="s">
        <v>48</v>
      </c>
      <c r="C6" s="2" t="s">
        <v>49</v>
      </c>
      <c r="D6" s="3" t="n">
        <v>45327</v>
      </c>
      <c r="E6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21.6" hidden="false" customHeight="false" outlineLevel="0" collapsed="false">
      <c r="A1" s="7" t="s">
        <v>50</v>
      </c>
      <c r="B1" s="7"/>
      <c r="C1" s="7"/>
      <c r="D1" s="7"/>
    </row>
    <row r="3" customFormat="false" ht="17.15" hidden="false" customHeight="false" outlineLevel="0" collapsed="false">
      <c r="A3" s="8" t="s">
        <v>2</v>
      </c>
      <c r="B3" s="9" t="s">
        <v>51</v>
      </c>
      <c r="C3" s="9" t="s">
        <v>52</v>
      </c>
      <c r="D3" s="8" t="s">
        <v>53</v>
      </c>
    </row>
    <row r="4" customFormat="false" ht="15" hidden="false" customHeight="false" outlineLevel="0" collapsed="false">
      <c r="A4" s="2" t="s">
        <v>9</v>
      </c>
      <c r="B4" s="0" t="n">
        <v>580000</v>
      </c>
      <c r="C4" s="0" t="n">
        <v>720000</v>
      </c>
      <c r="D4" s="0" t="n">
        <f aca="false">B4+C4</f>
        <v>1300000</v>
      </c>
    </row>
    <row r="5" customFormat="false" ht="15" hidden="false" customHeight="false" outlineLevel="0" collapsed="false">
      <c r="A5" s="2" t="s">
        <v>12</v>
      </c>
      <c r="B5" s="0" t="n">
        <v>220000</v>
      </c>
      <c r="C5" s="0" t="n">
        <v>185000</v>
      </c>
      <c r="D5" s="0" t="n">
        <f aca="false">B5+C5</f>
        <v>405000</v>
      </c>
    </row>
    <row r="6" customFormat="false" ht="15" hidden="false" customHeight="false" outlineLevel="0" collapsed="false">
      <c r="A6" s="2" t="s">
        <v>19</v>
      </c>
      <c r="B6" s="0" t="n">
        <v>45000</v>
      </c>
      <c r="C6" s="0" t="n">
        <v>62000</v>
      </c>
      <c r="D6" s="0" t="n">
        <f aca="false">B6+C6</f>
        <v>107000</v>
      </c>
    </row>
    <row r="7" customFormat="false" ht="15" hidden="false" customHeight="false" outlineLevel="0" collapsed="false">
      <c r="A7" s="4" t="s">
        <v>54</v>
      </c>
      <c r="B7" s="2" t="n">
        <f aca="false">SUM(B4:B6)</f>
        <v>845000</v>
      </c>
      <c r="C7" s="2" t="n">
        <f aca="false">SUM(C4:C6)</f>
        <v>967000</v>
      </c>
      <c r="D7" s="2" t="n">
        <f aca="false">SUM(D4:D6)</f>
        <v>1812000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2025-12-09T01:54:06Z</dcterms:created>
  <dc:creator>openpyxl</dc:creator>
  <dc:description/>
  <dc:language>en-US</dc:language>
  <cp:lastModifiedBy/>
  <dcterms:modified xsi:type="dcterms:W3CDTF">2025-12-09T01:54:06Z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